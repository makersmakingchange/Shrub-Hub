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neilsquiresoc.sharepoint.com/sites/MMC-RD/Shared Documents/RD 25-01 Digital Interfaces/TRRS Trinkey Rocket Switch/Documentation/Documentation/Working_Documents/"/>
    </mc:Choice>
  </mc:AlternateContent>
  <xr:revisionPtr revIDLastSave="559" documentId="11_DC0E2523FAFE28515E8D5C5A1D4A6B02C3B15AFA" xr6:coauthVersionLast="47" xr6:coauthVersionMax="47" xr10:uidLastSave="{7814D959-86A2-4D8F-B0B9-2AECD9B999C9}"/>
  <bookViews>
    <workbookView xWindow="-120" yWindow="-120" windowWidth="29040" windowHeight="15720" xr2:uid="{00000000-000D-0000-FFFF-FFFF00000000}"/>
  </bookViews>
  <sheets>
    <sheet name="BOM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6" i="2" l="1"/>
  <c r="I11" i="2"/>
  <c r="L11" i="2" s="1"/>
  <c r="K11" i="2"/>
  <c r="I18" i="2"/>
  <c r="I19" i="2"/>
  <c r="I5" i="2"/>
  <c r="K24" i="2"/>
  <c r="K20" i="2"/>
  <c r="L20" i="2" s="1"/>
  <c r="I20" i="2"/>
  <c r="K19" i="2"/>
  <c r="L19" i="2" s="1"/>
  <c r="K18" i="2"/>
  <c r="L18" i="2" s="1"/>
  <c r="K8" i="2"/>
  <c r="K23" i="2" l="1"/>
  <c r="L23" i="2" s="1"/>
  <c r="I23" i="2"/>
  <c r="K22" i="2"/>
  <c r="L22" i="2" s="1"/>
  <c r="I22" i="2"/>
  <c r="K21" i="2"/>
  <c r="L21" i="2" s="1"/>
  <c r="I21" i="2"/>
  <c r="K17" i="2"/>
  <c r="I17" i="2"/>
  <c r="K16" i="2"/>
  <c r="I16" i="2"/>
  <c r="L24" i="2"/>
  <c r="K12" i="2"/>
  <c r="I12" i="2"/>
  <c r="L12" i="2" s="1"/>
  <c r="K9" i="2"/>
  <c r="I9" i="2"/>
  <c r="L9" i="2" s="1"/>
  <c r="K10" i="2"/>
  <c r="I10" i="2"/>
  <c r="L10" i="2" s="1"/>
  <c r="I8" i="2"/>
  <c r="L8" i="2" s="1"/>
  <c r="K14" i="2" l="1"/>
  <c r="K6" i="2"/>
  <c r="L6" i="2"/>
  <c r="L16" i="2"/>
  <c r="I14" i="2"/>
  <c r="L17" i="2"/>
  <c r="K5" i="2" l="1"/>
  <c r="L14" i="2"/>
  <c r="L5" i="2" s="1"/>
</calcChain>
</file>

<file path=xl/sharedStrings.xml><?xml version="1.0" encoding="utf-8"?>
<sst xmlns="http://schemas.openxmlformats.org/spreadsheetml/2006/main" count="125" uniqueCount="73">
  <si>
    <t>Device:</t>
  </si>
  <si>
    <t>Shrub Hub</t>
  </si>
  <si>
    <t>Version:</t>
  </si>
  <si>
    <t>Last Updated:</t>
  </si>
  <si>
    <t>Total filament (g)</t>
  </si>
  <si>
    <t>Unit Cost</t>
  </si>
  <si>
    <t>Total Estimated Cost</t>
  </si>
  <si>
    <t>Build Cost</t>
  </si>
  <si>
    <t>ID</t>
  </si>
  <si>
    <t>Commercial Parts</t>
  </si>
  <si>
    <t>Part</t>
  </si>
  <si>
    <t>Description</t>
  </si>
  <si>
    <t>Manufacturer</t>
  </si>
  <si>
    <t>Supplier</t>
  </si>
  <si>
    <t>QTY / Device</t>
  </si>
  <si>
    <t>QTY / PKG</t>
  </si>
  <si>
    <t>PKGs</t>
  </si>
  <si>
    <t>$/ PKG</t>
  </si>
  <si>
    <t>$ / Device</t>
  </si>
  <si>
    <t>Link</t>
  </si>
  <si>
    <t>TRRS Trinkey</t>
  </si>
  <si>
    <t>https://www.digikey.ca/en/products/detail/adafruit-industries-llc/5954/24614902</t>
  </si>
  <si>
    <t>Microphone Splitter</t>
  </si>
  <si>
    <t>3D Printed Parts</t>
  </si>
  <si>
    <t>Filament Type</t>
  </si>
  <si>
    <t>Filament</t>
  </si>
  <si>
    <t>Color</t>
  </si>
  <si>
    <t>Mass (g) / Part</t>
  </si>
  <si>
    <t>Total Mass</t>
  </si>
  <si>
    <t>$ / kg</t>
  </si>
  <si>
    <t>Bottom of enclosure</t>
  </si>
  <si>
    <t>PLA</t>
  </si>
  <si>
    <t>Any</t>
  </si>
  <si>
    <t>Top of enclosure</t>
  </si>
  <si>
    <t>Custom PCB</t>
  </si>
  <si>
    <t>Tools</t>
  </si>
  <si>
    <t>Tool</t>
  </si>
  <si>
    <t>Alternatives</t>
  </si>
  <si>
    <t>Adafruit</t>
  </si>
  <si>
    <t>Mouser</t>
  </si>
  <si>
    <t>https://www.mouser.ca/ProductDetail/Adafruit/5954?qs=wT7LY0lnAe2DcfdqLcHAgA%3D%3D</t>
  </si>
  <si>
    <t>Ships from US</t>
  </si>
  <si>
    <t>https://www.adafruit.com/product/5954</t>
  </si>
  <si>
    <t>Halokny</t>
  </si>
  <si>
    <t>Amazon</t>
  </si>
  <si>
    <t>amazon.ca/dp/B07GP4QTHM</t>
  </si>
  <si>
    <t>TRRS Terminal</t>
  </si>
  <si>
    <t>Digikey</t>
  </si>
  <si>
    <t>https://www.digikey.ca/en/products/detail/adafruit-industries-llc/2914/7241507?gad_source=1&amp;gad_campaignid=20222764947&amp;gbraid=0AAAAADrbLlg_Z3GS93N9m1M2bsmETTJD5&amp;gclid=Cj0KCQjwm93DBhD_ARIsADR_DjE3O3O-BtLrvUKyTJsVo8CQXrkEkJNNlKURLMyeKt5K20KrGCMyLJYaAgEGEALw_wcB&amp;gclsrc=aw.ds</t>
  </si>
  <si>
    <t>amazon.ca/dp/B0B4PD2R5G</t>
  </si>
  <si>
    <t>GLARKS</t>
  </si>
  <si>
    <t>amazon.ca/dp/B07KF8SRC3/</t>
  </si>
  <si>
    <t>Mono Cable</t>
  </si>
  <si>
    <t>amazon.ca/dp/B0BZWK7PLP</t>
  </si>
  <si>
    <t>Fancasee</t>
  </si>
  <si>
    <t>amazon.ca/dp/B082VW97TT</t>
  </si>
  <si>
    <t>https://www.digikey.ca/en/products/detail/adafruit-industries-llc/4182/10230000</t>
  </si>
  <si>
    <t xml:space="preserve">https://www.digikey.ca/en/products/detail/dialight/51513030250F/4965201 </t>
  </si>
  <si>
    <t>Light Pipe</t>
  </si>
  <si>
    <t>Shrub Hub Base.stl</t>
  </si>
  <si>
    <t>Shrub Hub Lid.stl</t>
  </si>
  <si>
    <t xml:space="preserve"> V1.0</t>
  </si>
  <si>
    <t>Strain Relief Top.stl</t>
  </si>
  <si>
    <t>Strain Relief Bottom.stl</t>
  </si>
  <si>
    <t>Bottom of strain relief</t>
  </si>
  <si>
    <t>Top of strain relief</t>
  </si>
  <si>
    <t>Cable Tie</t>
  </si>
  <si>
    <t>https://www.digikey.ca/en/products/detail/3m/CT4NT18-M/2721151</t>
  </si>
  <si>
    <t>Trinkey Microcontroller</t>
  </si>
  <si>
    <t>Transparent Light Pipe</t>
  </si>
  <si>
    <t>TRRS Terminal Jack</t>
  </si>
  <si>
    <t>Pre Stripped Mono Cable</t>
  </si>
  <si>
    <t>Small cable 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</si>
</sst>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1"/>
      <name val="Roboto Black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1" tint="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</borders>
  <cellStyleXfs count="16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3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44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/>
    </xf>
    <xf numFmtId="0" fontId="0" fillId="0" borderId="4" xfId="0" applyBorder="1"/>
    <xf numFmtId="0" fontId="2" fillId="0" borderId="4" xfId="0" applyFont="1" applyBorder="1"/>
    <xf numFmtId="0" fontId="1" fillId="7" borderId="5" xfId="6" applyBorder="1"/>
    <xf numFmtId="0" fontId="1" fillId="7" borderId="0" xfId="6"/>
    <xf numFmtId="44" fontId="1" fillId="7" borderId="5" xfId="6" applyNumberFormat="1" applyBorder="1"/>
    <xf numFmtId="0" fontId="1" fillId="7" borderId="1" xfId="6" applyBorder="1"/>
    <xf numFmtId="44" fontId="1" fillId="6" borderId="2" xfId="5" applyNumberFormat="1" applyBorder="1"/>
    <xf numFmtId="44" fontId="1" fillId="4" borderId="1" xfId="3" applyNumberFormat="1" applyBorder="1"/>
    <xf numFmtId="0" fontId="1" fillId="4" borderId="1" xfId="3" applyBorder="1"/>
    <xf numFmtId="44" fontId="1" fillId="14" borderId="1" xfId="13" applyNumberFormat="1" applyBorder="1"/>
    <xf numFmtId="0" fontId="1" fillId="14" borderId="1" xfId="13" applyBorder="1"/>
    <xf numFmtId="44" fontId="1" fillId="13" borderId="2" xfId="12" applyNumberFormat="1" applyBorder="1"/>
    <xf numFmtId="0" fontId="1" fillId="9" borderId="1" xfId="8" applyBorder="1"/>
    <xf numFmtId="0" fontId="1" fillId="6" borderId="2" xfId="5" applyBorder="1"/>
    <xf numFmtId="0" fontId="1" fillId="3" borderId="2" xfId="2" applyBorder="1"/>
    <xf numFmtId="0" fontId="1" fillId="13" borderId="2" xfId="12" applyBorder="1"/>
    <xf numFmtId="0" fontId="1" fillId="11" borderId="2" xfId="10" applyBorder="1"/>
    <xf numFmtId="0" fontId="1" fillId="8" borderId="2" xfId="7" applyBorder="1"/>
    <xf numFmtId="0" fontId="1" fillId="6" borderId="6" xfId="5" applyBorder="1"/>
    <xf numFmtId="44" fontId="1" fillId="6" borderId="6" xfId="5" applyNumberFormat="1" applyBorder="1"/>
    <xf numFmtId="0" fontId="1" fillId="3" borderId="6" xfId="2" applyBorder="1"/>
    <xf numFmtId="44" fontId="1" fillId="3" borderId="6" xfId="2" applyNumberFormat="1" applyBorder="1"/>
    <xf numFmtId="0" fontId="1" fillId="13" borderId="6" xfId="12" applyBorder="1"/>
    <xf numFmtId="44" fontId="1" fillId="13" borderId="6" xfId="12" applyNumberFormat="1" applyBorder="1"/>
    <xf numFmtId="0" fontId="1" fillId="11" borderId="6" xfId="10" applyBorder="1"/>
    <xf numFmtId="0" fontId="1" fillId="12" borderId="7" xfId="11" applyBorder="1"/>
    <xf numFmtId="0" fontId="1" fillId="8" borderId="6" xfId="7" applyBorder="1"/>
    <xf numFmtId="0" fontId="1" fillId="6" borderId="8" xfId="5" applyBorder="1"/>
    <xf numFmtId="0" fontId="1" fillId="4" borderId="9" xfId="3" applyBorder="1"/>
    <xf numFmtId="0" fontId="1" fillId="4" borderId="10" xfId="3" applyBorder="1"/>
    <xf numFmtId="0" fontId="1" fillId="4" borderId="11" xfId="3" applyBorder="1"/>
    <xf numFmtId="0" fontId="1" fillId="4" borderId="12" xfId="3" applyBorder="1"/>
    <xf numFmtId="0" fontId="1" fillId="3" borderId="8" xfId="2" applyBorder="1"/>
    <xf numFmtId="0" fontId="1" fillId="14" borderId="9" xfId="13" applyBorder="1"/>
    <xf numFmtId="0" fontId="1" fillId="14" borderId="10" xfId="13" applyBorder="1"/>
    <xf numFmtId="44" fontId="1" fillId="14" borderId="10" xfId="13" applyNumberFormat="1" applyBorder="1"/>
    <xf numFmtId="0" fontId="1" fillId="14" borderId="11" xfId="13" applyBorder="1"/>
    <xf numFmtId="0" fontId="1" fillId="14" borderId="12" xfId="13" applyBorder="1"/>
    <xf numFmtId="0" fontId="1" fillId="12" borderId="9" xfId="11" applyBorder="1"/>
    <xf numFmtId="0" fontId="1" fillId="12" borderId="10" xfId="11" applyBorder="1"/>
    <xf numFmtId="44" fontId="1" fillId="12" borderId="10" xfId="11" applyNumberFormat="1" applyBorder="1"/>
    <xf numFmtId="0" fontId="1" fillId="12" borderId="11" xfId="11" applyBorder="1"/>
    <xf numFmtId="0" fontId="1" fillId="12" borderId="12" xfId="11" applyBorder="1"/>
    <xf numFmtId="0" fontId="1" fillId="11" borderId="8" xfId="10" applyBorder="1"/>
    <xf numFmtId="0" fontId="1" fillId="9" borderId="9" xfId="8" applyBorder="1"/>
    <xf numFmtId="0" fontId="1" fillId="9" borderId="14" xfId="8" applyBorder="1"/>
    <xf numFmtId="0" fontId="1" fillId="9" borderId="12" xfId="8" applyBorder="1"/>
    <xf numFmtId="0" fontId="2" fillId="7" borderId="5" xfId="6" applyFont="1" applyBorder="1"/>
    <xf numFmtId="0" fontId="2" fillId="4" borderId="1" xfId="3" applyFont="1" applyBorder="1"/>
    <xf numFmtId="0" fontId="2" fillId="14" borderId="1" xfId="13" applyFont="1" applyBorder="1"/>
    <xf numFmtId="0" fontId="2" fillId="12" borderId="1" xfId="11" applyFont="1" applyBorder="1"/>
    <xf numFmtId="0" fontId="2" fillId="9" borderId="13" xfId="8" applyFont="1" applyBorder="1"/>
    <xf numFmtId="0" fontId="5" fillId="0" borderId="0" xfId="0" applyFont="1"/>
    <xf numFmtId="0" fontId="5" fillId="10" borderId="3" xfId="9" applyFont="1" applyBorder="1"/>
    <xf numFmtId="0" fontId="6" fillId="2" borderId="0" xfId="1" applyFont="1"/>
    <xf numFmtId="0" fontId="5" fillId="0" borderId="4" xfId="0" applyFont="1" applyBorder="1"/>
    <xf numFmtId="44" fontId="5" fillId="10" borderId="5" xfId="9" applyNumberFormat="1" applyFont="1" applyBorder="1"/>
    <xf numFmtId="164" fontId="5" fillId="2" borderId="4" xfId="1" applyNumberFormat="1" applyFont="1" applyBorder="1"/>
    <xf numFmtId="0" fontId="1" fillId="5" borderId="3" xfId="4" applyBorder="1"/>
    <xf numFmtId="0" fontId="1" fillId="5" borderId="5" xfId="4" applyBorder="1"/>
    <xf numFmtId="44" fontId="1" fillId="7" borderId="1" xfId="6" applyNumberFormat="1" applyBorder="1"/>
    <xf numFmtId="0" fontId="1" fillId="12" borderId="1" xfId="11" applyBorder="1"/>
    <xf numFmtId="0" fontId="1" fillId="9" borderId="10" xfId="8" applyBorder="1"/>
    <xf numFmtId="0" fontId="1" fillId="9" borderId="11" xfId="8" applyBorder="1"/>
    <xf numFmtId="0" fontId="1" fillId="15" borderId="8" xfId="12" applyFill="1" applyBorder="1"/>
    <xf numFmtId="44" fontId="1" fillId="15" borderId="8" xfId="12" applyNumberFormat="1" applyFill="1" applyBorder="1"/>
    <xf numFmtId="0" fontId="0" fillId="15" borderId="4" xfId="0" applyFill="1" applyBorder="1"/>
    <xf numFmtId="14" fontId="0" fillId="0" borderId="4" xfId="0" applyNumberFormat="1" applyBorder="1"/>
    <xf numFmtId="44" fontId="1" fillId="8" borderId="2" xfId="14" applyFill="1" applyBorder="1"/>
    <xf numFmtId="44" fontId="1" fillId="8" borderId="6" xfId="14" applyFill="1" applyBorder="1"/>
    <xf numFmtId="0" fontId="4" fillId="0" borderId="0" xfId="0" applyFont="1" applyAlignment="1">
      <alignment horizontal="left"/>
    </xf>
    <xf numFmtId="0" fontId="7" fillId="8" borderId="2" xfId="15" applyFill="1" applyBorder="1"/>
  </cellXfs>
  <cellStyles count="16">
    <cellStyle name="20% - Accent1" xfId="2" builtinId="30"/>
    <cellStyle name="20% - Accent2" xfId="5" builtinId="34"/>
    <cellStyle name="20% - Accent3" xfId="7" builtinId="38"/>
    <cellStyle name="20% - Accent4" xfId="10" builtinId="42"/>
    <cellStyle name="20% - Accent6" xfId="12" builtinId="50"/>
    <cellStyle name="40% - Accent1" xfId="3" builtinId="31"/>
    <cellStyle name="40% - Accent2" xfId="6" builtinId="35"/>
    <cellStyle name="40% - Accent3" xfId="8" builtinId="39"/>
    <cellStyle name="40% - Accent4" xfId="11" builtinId="43"/>
    <cellStyle name="40% - Accent6" xfId="13" builtinId="51"/>
    <cellStyle name="60% - Accent1" xfId="4" builtinId="32"/>
    <cellStyle name="Accent2" xfId="1" builtinId="33"/>
    <cellStyle name="Accent4" xfId="9" builtinId="41"/>
    <cellStyle name="Currency" xfId="14" builtinId="4"/>
    <cellStyle name="Hyperlink" xfId="15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E8AD1-7DB5-46E4-9BCF-A08DFBDA7B00}">
  <dimension ref="A1:N51"/>
  <sheetViews>
    <sheetView tabSelected="1" workbookViewId="0">
      <selection activeCell="N47" sqref="B47:N47"/>
    </sheetView>
  </sheetViews>
  <sheetFormatPr defaultRowHeight="15" x14ac:dyDescent="0.25"/>
  <cols>
    <col min="1" max="1" width="19.28515625" customWidth="1"/>
    <col min="2" max="2" width="22" bestFit="1" customWidth="1"/>
    <col min="3" max="3" width="23.42578125" bestFit="1" customWidth="1"/>
    <col min="4" max="4" width="12.85546875" customWidth="1"/>
    <col min="5" max="5" width="13.140625" bestFit="1" customWidth="1"/>
    <col min="6" max="6" width="8.42578125" bestFit="1" customWidth="1"/>
    <col min="7" max="7" width="12.140625" bestFit="1" customWidth="1"/>
    <col min="8" max="8" width="13.7109375" bestFit="1" customWidth="1"/>
    <col min="9" max="9" width="15.85546875" customWidth="1"/>
    <col min="10" max="10" width="8" bestFit="1" customWidth="1"/>
    <col min="11" max="11" width="9.7109375" bestFit="1" customWidth="1"/>
    <col min="12" max="12" width="20.42578125" customWidth="1"/>
    <col min="13" max="13" width="17.28515625" customWidth="1"/>
    <col min="14" max="14" width="17.42578125" bestFit="1" customWidth="1"/>
  </cols>
  <sheetData>
    <row r="1" spans="1:14" ht="35.25" x14ac:dyDescent="0.5">
      <c r="A1" s="2" t="s">
        <v>0</v>
      </c>
      <c r="B1" s="73" t="s">
        <v>1</v>
      </c>
      <c r="C1" s="73"/>
      <c r="D1" s="73"/>
      <c r="E1" s="73"/>
      <c r="F1" s="73"/>
      <c r="G1" s="73"/>
      <c r="H1" s="73"/>
      <c r="I1" s="73"/>
      <c r="J1" s="73"/>
    </row>
    <row r="2" spans="1:14" x14ac:dyDescent="0.25">
      <c r="A2" s="1" t="s">
        <v>2</v>
      </c>
      <c r="B2" t="s">
        <v>61</v>
      </c>
    </row>
    <row r="3" spans="1:14" s="3" customFormat="1" ht="15.75" thickBot="1" x14ac:dyDescent="0.3">
      <c r="A3" s="4" t="s">
        <v>3</v>
      </c>
      <c r="B3" s="70">
        <v>45861</v>
      </c>
    </row>
    <row r="4" spans="1:14" x14ac:dyDescent="0.25">
      <c r="I4" s="61" t="s">
        <v>4</v>
      </c>
      <c r="J4" s="55"/>
      <c r="K4" s="56" t="s">
        <v>5</v>
      </c>
      <c r="L4" s="57" t="s">
        <v>6</v>
      </c>
      <c r="M4" t="s">
        <v>7</v>
      </c>
    </row>
    <row r="5" spans="1:14" s="3" customFormat="1" ht="15.75" thickBot="1" x14ac:dyDescent="0.3">
      <c r="C5" s="4"/>
      <c r="D5" s="4"/>
      <c r="E5" s="4"/>
      <c r="F5" s="4"/>
      <c r="I5" s="62">
        <f>SUM(H16:H23)</f>
        <v>10</v>
      </c>
      <c r="J5" s="58"/>
      <c r="K5" s="59">
        <f>K6+K24+K14</f>
        <v>27.512499999999999</v>
      </c>
      <c r="L5" s="60">
        <f>L6+L24+L14</f>
        <v>33.33</v>
      </c>
    </row>
    <row r="6" spans="1:14" ht="15.75" thickBot="1" x14ac:dyDescent="0.3">
      <c r="A6" s="5" t="s">
        <v>8</v>
      </c>
      <c r="B6" s="50" t="s">
        <v>9</v>
      </c>
      <c r="C6" s="6"/>
      <c r="D6" s="6"/>
      <c r="E6" s="6"/>
      <c r="F6" s="6"/>
      <c r="G6" s="6"/>
      <c r="H6" s="6"/>
      <c r="I6" s="6"/>
      <c r="J6" s="6"/>
      <c r="K6" s="63">
        <f>SUM(K8:K13)</f>
        <v>27.262499999999999</v>
      </c>
      <c r="L6" s="7">
        <f>SUM(L8:L13)</f>
        <v>33.08</v>
      </c>
      <c r="M6" s="6"/>
      <c r="N6" s="6"/>
    </row>
    <row r="7" spans="1:14" ht="15.75" thickBot="1" x14ac:dyDescent="0.3">
      <c r="A7" s="8"/>
      <c r="B7" s="8" t="s">
        <v>10</v>
      </c>
      <c r="C7" s="8" t="s">
        <v>11</v>
      </c>
      <c r="D7" s="8"/>
      <c r="E7" s="8" t="s">
        <v>12</v>
      </c>
      <c r="F7" s="8" t="s">
        <v>13</v>
      </c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" t="s">
        <v>6</v>
      </c>
      <c r="M7" s="8"/>
      <c r="N7" s="8" t="s">
        <v>19</v>
      </c>
    </row>
    <row r="8" spans="1:14" x14ac:dyDescent="0.25">
      <c r="A8" s="21"/>
      <c r="B8" s="21" t="s">
        <v>20</v>
      </c>
      <c r="C8" s="21" t="s">
        <v>68</v>
      </c>
      <c r="D8" s="21"/>
      <c r="E8" s="21"/>
      <c r="F8" s="21"/>
      <c r="G8" s="21">
        <v>1</v>
      </c>
      <c r="H8" s="21">
        <v>1</v>
      </c>
      <c r="I8" s="21">
        <f t="shared" ref="I8:I12" si="0">IF(G8&gt;0,CEILING(G8/H8,1),0)</f>
        <v>1</v>
      </c>
      <c r="J8" s="22">
        <v>14.5</v>
      </c>
      <c r="K8" s="22">
        <f>IF(G8&gt;0,J8/H8*G8,0)</f>
        <v>14.5</v>
      </c>
      <c r="L8" s="22">
        <f>I8*J8</f>
        <v>14.5</v>
      </c>
      <c r="M8" s="21"/>
      <c r="N8" s="21" t="s">
        <v>21</v>
      </c>
    </row>
    <row r="9" spans="1:14" x14ac:dyDescent="0.25">
      <c r="A9" s="16"/>
      <c r="B9" s="16" t="s">
        <v>58</v>
      </c>
      <c r="C9" s="16" t="s">
        <v>69</v>
      </c>
      <c r="D9" s="16"/>
      <c r="E9" s="16"/>
      <c r="F9" s="16"/>
      <c r="G9" s="16">
        <v>1</v>
      </c>
      <c r="H9" s="16">
        <v>1</v>
      </c>
      <c r="I9" s="16">
        <f>IF(G9&gt;0,CEILING(G9/H9,1),0)</f>
        <v>1</v>
      </c>
      <c r="J9" s="9">
        <v>1.57</v>
      </c>
      <c r="K9" s="9">
        <f>IF(G9&gt;0,J9/H9*G9,0)</f>
        <v>1.57</v>
      </c>
      <c r="L9" s="9">
        <f>I9*J9</f>
        <v>1.57</v>
      </c>
      <c r="M9" s="16"/>
      <c r="N9" s="16" t="s">
        <v>57</v>
      </c>
    </row>
    <row r="10" spans="1:14" x14ac:dyDescent="0.25">
      <c r="A10" s="16"/>
      <c r="B10" s="16" t="s">
        <v>46</v>
      </c>
      <c r="C10" s="16" t="s">
        <v>70</v>
      </c>
      <c r="D10" s="16"/>
      <c r="E10" s="16"/>
      <c r="F10" s="16"/>
      <c r="G10" s="16">
        <v>1</v>
      </c>
      <c r="H10" s="16">
        <v>2</v>
      </c>
      <c r="I10" s="16">
        <f>IF(G10&gt;0,CEILING(G10/H10,1),0)</f>
        <v>1</v>
      </c>
      <c r="J10" s="9">
        <v>6.58</v>
      </c>
      <c r="K10" s="9">
        <f>IF(G10&gt;0,J10/H10*G10,0)</f>
        <v>3.29</v>
      </c>
      <c r="L10" s="9">
        <f>I10*J10</f>
        <v>6.58</v>
      </c>
      <c r="M10" s="16"/>
      <c r="N10" s="16" t="s">
        <v>49</v>
      </c>
    </row>
    <row r="11" spans="1:14" x14ac:dyDescent="0.25">
      <c r="A11" s="16"/>
      <c r="B11" s="16" t="s">
        <v>52</v>
      </c>
      <c r="C11" s="16" t="s">
        <v>71</v>
      </c>
      <c r="D11" s="16"/>
      <c r="E11" s="16"/>
      <c r="F11" s="16"/>
      <c r="G11" s="16">
        <v>3</v>
      </c>
      <c r="H11" s="16">
        <v>4</v>
      </c>
      <c r="I11" s="16">
        <f>IF(G11&gt;0,CEILING(G11/H11,1),0)</f>
        <v>1</v>
      </c>
      <c r="J11" s="9">
        <v>10.11</v>
      </c>
      <c r="K11" s="9">
        <f>IF(G11&gt;0,J11/H11*G11,0)</f>
        <v>7.5824999999999996</v>
      </c>
      <c r="L11" s="9">
        <f>I11*J11</f>
        <v>10.11</v>
      </c>
      <c r="M11" s="16"/>
      <c r="N11" s="16" t="s">
        <v>53</v>
      </c>
    </row>
    <row r="12" spans="1:14" x14ac:dyDescent="0.25">
      <c r="A12" s="16"/>
      <c r="B12" s="16" t="s">
        <v>66</v>
      </c>
      <c r="C12" s="16" t="s">
        <v>72</v>
      </c>
      <c r="D12" s="16"/>
      <c r="E12" s="16"/>
      <c r="F12" s="16"/>
      <c r="G12" s="16">
        <v>2</v>
      </c>
      <c r="H12" s="16">
        <v>1</v>
      </c>
      <c r="I12" s="16">
        <f t="shared" si="0"/>
        <v>2</v>
      </c>
      <c r="J12" s="9">
        <v>0.16</v>
      </c>
      <c r="K12" s="9">
        <f t="shared" ref="K12" si="1">IF(G12&gt;0,J12/H12*G12,0)</f>
        <v>0.32</v>
      </c>
      <c r="L12" s="9">
        <f t="shared" ref="L12" si="2">I12*J12</f>
        <v>0.32</v>
      </c>
      <c r="M12" s="16"/>
      <c r="N12" s="16" t="s">
        <v>67</v>
      </c>
    </row>
    <row r="13" spans="1:14" s="3" customFormat="1" ht="15.75" thickBot="1" x14ac:dyDescent="0.3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</row>
    <row r="14" spans="1:14" ht="15.75" thickBot="1" x14ac:dyDescent="0.3">
      <c r="A14" s="36"/>
      <c r="B14" s="52" t="s">
        <v>23</v>
      </c>
      <c r="C14" s="37"/>
      <c r="D14" s="37"/>
      <c r="E14" s="37"/>
      <c r="F14" s="37"/>
      <c r="G14" s="37"/>
      <c r="H14" s="37"/>
      <c r="I14" s="13">
        <f>SUM(I16:I29)</f>
        <v>10</v>
      </c>
      <c r="J14" s="38"/>
      <c r="K14" s="12">
        <f>SUM(K16:K23)</f>
        <v>0.25</v>
      </c>
      <c r="L14" s="12">
        <f>SUM(L16:L23)</f>
        <v>0.25</v>
      </c>
      <c r="M14" s="37"/>
      <c r="N14" s="39"/>
    </row>
    <row r="15" spans="1:14" ht="15.75" thickBot="1" x14ac:dyDescent="0.3">
      <c r="A15" s="40"/>
      <c r="B15" s="13" t="s">
        <v>10</v>
      </c>
      <c r="C15" s="13" t="s">
        <v>11</v>
      </c>
      <c r="D15" s="13" t="s">
        <v>24</v>
      </c>
      <c r="E15" s="13" t="s">
        <v>25</v>
      </c>
      <c r="F15" s="13" t="s">
        <v>26</v>
      </c>
      <c r="G15" s="13" t="s">
        <v>14</v>
      </c>
      <c r="H15" s="13" t="s">
        <v>27</v>
      </c>
      <c r="I15" s="13" t="s">
        <v>28</v>
      </c>
      <c r="J15" s="13" t="s">
        <v>29</v>
      </c>
      <c r="K15" s="13" t="s">
        <v>18</v>
      </c>
      <c r="L15" s="13" t="s">
        <v>6</v>
      </c>
      <c r="M15" s="13"/>
      <c r="N15" s="13" t="s">
        <v>19</v>
      </c>
    </row>
    <row r="16" spans="1:14" x14ac:dyDescent="0.25">
      <c r="A16" s="25"/>
      <c r="B16" s="25" t="s">
        <v>59</v>
      </c>
      <c r="C16" s="25" t="s">
        <v>30</v>
      </c>
      <c r="D16" s="25" t="s">
        <v>31</v>
      </c>
      <c r="E16" s="25"/>
      <c r="F16" s="25" t="s">
        <v>32</v>
      </c>
      <c r="G16" s="25">
        <v>1</v>
      </c>
      <c r="H16" s="25">
        <v>3</v>
      </c>
      <c r="I16" s="25">
        <f>G16*H16</f>
        <v>3</v>
      </c>
      <c r="J16" s="26">
        <v>25</v>
      </c>
      <c r="K16" s="26">
        <f>IF(G16&gt;0,(J16/1000)*G16*H16,0)</f>
        <v>7.5000000000000011E-2</v>
      </c>
      <c r="L16" s="26">
        <f>K16</f>
        <v>7.5000000000000011E-2</v>
      </c>
      <c r="M16" s="25"/>
      <c r="N16" s="25"/>
    </row>
    <row r="17" spans="1:14" x14ac:dyDescent="0.25">
      <c r="A17" s="18"/>
      <c r="B17" s="18" t="s">
        <v>60</v>
      </c>
      <c r="C17" s="18" t="s">
        <v>33</v>
      </c>
      <c r="D17" s="18" t="s">
        <v>31</v>
      </c>
      <c r="E17" s="18"/>
      <c r="F17" s="18" t="s">
        <v>32</v>
      </c>
      <c r="G17" s="18">
        <v>1</v>
      </c>
      <c r="H17" s="18">
        <v>2</v>
      </c>
      <c r="I17" s="18">
        <f t="shared" ref="I17:I23" si="3">G17*H17</f>
        <v>2</v>
      </c>
      <c r="J17" s="26">
        <v>25</v>
      </c>
      <c r="K17" s="14">
        <f t="shared" ref="K17:K23" si="4">IF(G17&gt;0,(J17/1000)*G17*H17,0)</f>
        <v>0.05</v>
      </c>
      <c r="L17" s="14">
        <f t="shared" ref="L17:L23" si="5">K17</f>
        <v>0.05</v>
      </c>
      <c r="M17" s="18"/>
      <c r="N17" s="18"/>
    </row>
    <row r="18" spans="1:14" x14ac:dyDescent="0.25">
      <c r="A18" s="18"/>
      <c r="B18" s="18" t="s">
        <v>63</v>
      </c>
      <c r="C18" s="18" t="s">
        <v>64</v>
      </c>
      <c r="D18" s="18" t="s">
        <v>31</v>
      </c>
      <c r="E18" s="18"/>
      <c r="F18" s="18" t="s">
        <v>32</v>
      </c>
      <c r="G18" s="18">
        <v>1</v>
      </c>
      <c r="H18" s="18">
        <v>3</v>
      </c>
      <c r="I18" s="18">
        <f t="shared" si="3"/>
        <v>3</v>
      </c>
      <c r="J18" s="26">
        <v>25</v>
      </c>
      <c r="K18" s="14">
        <f t="shared" ref="K18:K20" si="6">IF(G18&gt;0,(J18/1000)*G18*H18,0)</f>
        <v>7.5000000000000011E-2</v>
      </c>
      <c r="L18" s="14">
        <f t="shared" ref="L18:L20" si="7">K18</f>
        <v>7.5000000000000011E-2</v>
      </c>
      <c r="M18" s="18"/>
      <c r="N18" s="18"/>
    </row>
    <row r="19" spans="1:14" x14ac:dyDescent="0.25">
      <c r="A19" s="18"/>
      <c r="B19" s="18" t="s">
        <v>62</v>
      </c>
      <c r="C19" s="18" t="s">
        <v>65</v>
      </c>
      <c r="D19" s="18" t="s">
        <v>31</v>
      </c>
      <c r="E19" s="18"/>
      <c r="F19" s="18" t="s">
        <v>32</v>
      </c>
      <c r="G19" s="18">
        <v>1</v>
      </c>
      <c r="H19" s="18">
        <v>2</v>
      </c>
      <c r="I19" s="18">
        <f t="shared" si="3"/>
        <v>2</v>
      </c>
      <c r="J19" s="26">
        <v>25</v>
      </c>
      <c r="K19" s="14">
        <f t="shared" si="6"/>
        <v>0.05</v>
      </c>
      <c r="L19" s="14">
        <f t="shared" si="7"/>
        <v>0.05</v>
      </c>
      <c r="M19" s="18"/>
      <c r="N19" s="18"/>
    </row>
    <row r="20" spans="1:14" x14ac:dyDescent="0.25">
      <c r="A20" s="18"/>
      <c r="B20" s="18"/>
      <c r="C20" s="18"/>
      <c r="D20" s="18"/>
      <c r="E20" s="18"/>
      <c r="F20" s="18"/>
      <c r="G20" s="18"/>
      <c r="H20" s="18"/>
      <c r="I20" s="18">
        <f t="shared" ref="I20" si="8">G20*H20</f>
        <v>0</v>
      </c>
      <c r="J20" s="14"/>
      <c r="K20" s="14">
        <f t="shared" si="6"/>
        <v>0</v>
      </c>
      <c r="L20" s="14">
        <f t="shared" si="7"/>
        <v>0</v>
      </c>
      <c r="M20" s="18"/>
      <c r="N20" s="18"/>
    </row>
    <row r="21" spans="1:14" x14ac:dyDescent="0.25">
      <c r="A21" s="18"/>
      <c r="B21" s="18"/>
      <c r="C21" s="18"/>
      <c r="D21" s="18"/>
      <c r="E21" s="18"/>
      <c r="F21" s="18"/>
      <c r="G21" s="18"/>
      <c r="H21" s="18"/>
      <c r="I21" s="18">
        <f t="shared" si="3"/>
        <v>0</v>
      </c>
      <c r="J21" s="14"/>
      <c r="K21" s="14">
        <f t="shared" si="4"/>
        <v>0</v>
      </c>
      <c r="L21" s="14">
        <f t="shared" si="5"/>
        <v>0</v>
      </c>
      <c r="M21" s="18"/>
      <c r="N21" s="18"/>
    </row>
    <row r="22" spans="1:14" x14ac:dyDescent="0.25">
      <c r="A22" s="18"/>
      <c r="B22" s="18"/>
      <c r="C22" s="18"/>
      <c r="D22" s="18"/>
      <c r="E22" s="18"/>
      <c r="F22" s="18"/>
      <c r="G22" s="18"/>
      <c r="H22" s="18"/>
      <c r="I22" s="18">
        <f t="shared" si="3"/>
        <v>0</v>
      </c>
      <c r="J22" s="14"/>
      <c r="K22" s="14">
        <f t="shared" si="4"/>
        <v>0</v>
      </c>
      <c r="L22" s="14">
        <f t="shared" si="5"/>
        <v>0</v>
      </c>
      <c r="M22" s="18"/>
      <c r="N22" s="18"/>
    </row>
    <row r="23" spans="1:14" ht="15.75" thickBot="1" x14ac:dyDescent="0.3">
      <c r="A23" s="18"/>
      <c r="B23" s="18"/>
      <c r="C23" s="18"/>
      <c r="D23" s="18"/>
      <c r="E23" s="18"/>
      <c r="F23" s="18"/>
      <c r="G23" s="18"/>
      <c r="H23" s="18"/>
      <c r="I23" s="18">
        <f t="shared" si="3"/>
        <v>0</v>
      </c>
      <c r="J23" s="14"/>
      <c r="K23" s="14">
        <f t="shared" si="4"/>
        <v>0</v>
      </c>
      <c r="L23" s="14">
        <f t="shared" si="5"/>
        <v>0</v>
      </c>
      <c r="M23" s="18"/>
      <c r="N23" s="18"/>
    </row>
    <row r="24" spans="1:14" ht="15.75" thickBot="1" x14ac:dyDescent="0.3">
      <c r="A24" s="31"/>
      <c r="B24" s="51" t="s">
        <v>34</v>
      </c>
      <c r="C24" s="32"/>
      <c r="D24" s="32"/>
      <c r="E24" s="32"/>
      <c r="F24" s="32"/>
      <c r="G24" s="32"/>
      <c r="H24" s="32"/>
      <c r="I24" s="32"/>
      <c r="J24" s="32"/>
      <c r="K24" s="10">
        <f>SUM(K26:K28)</f>
        <v>0</v>
      </c>
      <c r="L24" s="10">
        <f>SUM(L26:L28)</f>
        <v>0</v>
      </c>
      <c r="M24" s="32"/>
      <c r="N24" s="33"/>
    </row>
    <row r="25" spans="1:14" ht="15.75" thickBot="1" x14ac:dyDescent="0.3">
      <c r="A25" s="34"/>
      <c r="B25" s="11" t="s">
        <v>10</v>
      </c>
      <c r="C25" s="11" t="s">
        <v>11</v>
      </c>
      <c r="D25" s="11"/>
      <c r="E25" s="11" t="s">
        <v>12</v>
      </c>
      <c r="F25" s="11" t="s">
        <v>13</v>
      </c>
      <c r="G25" s="11" t="s">
        <v>14</v>
      </c>
      <c r="H25" s="11" t="s">
        <v>15</v>
      </c>
      <c r="I25" s="11" t="s">
        <v>16</v>
      </c>
      <c r="J25" s="11" t="s">
        <v>17</v>
      </c>
      <c r="K25" s="11" t="s">
        <v>18</v>
      </c>
      <c r="L25" s="11" t="s">
        <v>6</v>
      </c>
      <c r="M25" s="11"/>
      <c r="N25" s="11" t="s">
        <v>19</v>
      </c>
    </row>
    <row r="26" spans="1:14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4"/>
      <c r="K26" s="24"/>
      <c r="L26" s="24"/>
      <c r="M26" s="23"/>
      <c r="N26" s="23"/>
    </row>
    <row r="27" spans="1:14" x14ac:dyDescent="0.25">
      <c r="A27" s="17"/>
      <c r="B27" s="17"/>
      <c r="C27" s="17"/>
      <c r="D27" s="17"/>
      <c r="E27" s="17"/>
      <c r="F27" s="17"/>
      <c r="G27" s="17"/>
      <c r="H27" s="17"/>
      <c r="I27" s="23"/>
      <c r="J27" s="24"/>
      <c r="K27" s="24"/>
      <c r="L27" s="24"/>
      <c r="M27" s="17"/>
      <c r="N27" s="17"/>
    </row>
    <row r="28" spans="1:14" s="3" customFormat="1" ht="15.75" thickBot="1" x14ac:dyDescent="0.3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</row>
    <row r="29" spans="1:14" s="69" customFormat="1" ht="15.75" thickBot="1" x14ac:dyDescent="0.3">
      <c r="A29" s="67"/>
      <c r="B29" s="67"/>
      <c r="C29" s="67"/>
      <c r="D29" s="67"/>
      <c r="E29" s="67"/>
      <c r="F29" s="67"/>
      <c r="G29" s="67"/>
      <c r="H29" s="67"/>
      <c r="I29" s="67"/>
      <c r="J29" s="68"/>
      <c r="K29" s="68"/>
      <c r="L29" s="68"/>
      <c r="M29" s="67"/>
      <c r="N29" s="67"/>
    </row>
    <row r="30" spans="1:14" ht="15.75" thickBot="1" x14ac:dyDescent="0.3">
      <c r="A30" s="41"/>
      <c r="B30" s="53" t="s">
        <v>35</v>
      </c>
      <c r="C30" s="42"/>
      <c r="D30" s="42"/>
      <c r="E30" s="42"/>
      <c r="F30" s="42"/>
      <c r="G30" s="42"/>
      <c r="H30" s="42"/>
      <c r="I30" s="42"/>
      <c r="J30" s="43"/>
      <c r="K30" s="42"/>
      <c r="L30" s="42"/>
      <c r="M30" s="42"/>
      <c r="N30" s="44"/>
    </row>
    <row r="31" spans="1:14" ht="15.75" thickBot="1" x14ac:dyDescent="0.3">
      <c r="A31" s="45"/>
      <c r="B31" s="64" t="s">
        <v>36</v>
      </c>
      <c r="C31" s="64" t="s">
        <v>11</v>
      </c>
      <c r="D31" s="28"/>
      <c r="E31" s="64" t="s">
        <v>12</v>
      </c>
      <c r="F31" s="64" t="s">
        <v>13</v>
      </c>
      <c r="G31" s="28"/>
      <c r="H31" s="28"/>
      <c r="I31" s="28"/>
      <c r="J31" s="28"/>
      <c r="K31" s="28"/>
      <c r="L31" s="28"/>
      <c r="M31" s="28"/>
      <c r="N31" s="64" t="s">
        <v>19</v>
      </c>
    </row>
    <row r="32" spans="1:14" x14ac:dyDescent="0.2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</row>
    <row r="33" spans="1:14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</row>
    <row r="34" spans="1:14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r="35" spans="1:14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4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</row>
    <row r="37" spans="1:14" ht="15.75" thickBot="1" x14ac:dyDescent="0.3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</row>
    <row r="38" spans="1:14" ht="15.75" thickBot="1" x14ac:dyDescent="0.3">
      <c r="A38" s="47"/>
      <c r="B38" s="54" t="s">
        <v>37</v>
      </c>
      <c r="C38" s="48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6"/>
    </row>
    <row r="39" spans="1:14" ht="15.75" thickBot="1" x14ac:dyDescent="0.3">
      <c r="A39" s="49"/>
      <c r="B39" s="15" t="s">
        <v>10</v>
      </c>
      <c r="C39" s="15" t="s">
        <v>11</v>
      </c>
      <c r="D39" s="15"/>
      <c r="E39" s="15" t="s">
        <v>12</v>
      </c>
      <c r="F39" s="15" t="s">
        <v>13</v>
      </c>
      <c r="G39" s="15" t="s">
        <v>14</v>
      </c>
      <c r="H39" s="15" t="s">
        <v>15</v>
      </c>
      <c r="I39" s="15" t="s">
        <v>16</v>
      </c>
      <c r="J39" s="15" t="s">
        <v>17</v>
      </c>
      <c r="K39" s="15" t="s">
        <v>18</v>
      </c>
      <c r="L39" s="15" t="s">
        <v>6</v>
      </c>
      <c r="M39" s="15"/>
      <c r="N39" s="15" t="s">
        <v>19</v>
      </c>
    </row>
    <row r="40" spans="1:14" x14ac:dyDescent="0.25">
      <c r="A40" s="29"/>
      <c r="B40" s="29" t="s">
        <v>20</v>
      </c>
      <c r="C40" s="29"/>
      <c r="D40" s="29"/>
      <c r="E40" s="29" t="s">
        <v>38</v>
      </c>
      <c r="F40" s="29" t="s">
        <v>39</v>
      </c>
      <c r="G40" s="29">
        <v>1</v>
      </c>
      <c r="H40" s="29">
        <v>1</v>
      </c>
      <c r="I40" s="29">
        <v>1</v>
      </c>
      <c r="J40" s="72">
        <v>15.17</v>
      </c>
      <c r="K40" s="72">
        <v>15.17</v>
      </c>
      <c r="L40" s="29"/>
      <c r="M40" s="29"/>
      <c r="N40" s="29" t="s">
        <v>40</v>
      </c>
    </row>
    <row r="41" spans="1:14" x14ac:dyDescent="0.25">
      <c r="A41" s="20"/>
      <c r="B41" s="20" t="s">
        <v>20</v>
      </c>
      <c r="C41" s="20"/>
      <c r="D41" s="20"/>
      <c r="E41" s="20" t="s">
        <v>38</v>
      </c>
      <c r="F41" s="20" t="s">
        <v>38</v>
      </c>
      <c r="G41" s="20">
        <v>1</v>
      </c>
      <c r="H41" s="20">
        <v>1</v>
      </c>
      <c r="I41" s="20">
        <v>1</v>
      </c>
      <c r="J41" s="71">
        <v>13.62</v>
      </c>
      <c r="K41" s="71">
        <v>13.62</v>
      </c>
      <c r="L41" s="20"/>
      <c r="M41" s="20" t="s">
        <v>41</v>
      </c>
      <c r="N41" s="20" t="s">
        <v>42</v>
      </c>
    </row>
    <row r="42" spans="1:14" x14ac:dyDescent="0.25">
      <c r="A42" s="20"/>
      <c r="B42" s="20" t="s">
        <v>22</v>
      </c>
      <c r="C42" s="20"/>
      <c r="D42" s="20"/>
      <c r="E42" s="20" t="s">
        <v>43</v>
      </c>
      <c r="F42" s="20" t="s">
        <v>44</v>
      </c>
      <c r="G42" s="20">
        <v>1</v>
      </c>
      <c r="H42" s="20">
        <v>2</v>
      </c>
      <c r="I42" s="20">
        <v>1</v>
      </c>
      <c r="J42" s="71">
        <v>8.99</v>
      </c>
      <c r="K42" s="71">
        <v>4.5</v>
      </c>
      <c r="L42" s="20"/>
      <c r="M42" s="20"/>
      <c r="N42" s="20" t="s">
        <v>45</v>
      </c>
    </row>
    <row r="43" spans="1:14" x14ac:dyDescent="0.25">
      <c r="A43" s="20"/>
      <c r="B43" s="20" t="s">
        <v>46</v>
      </c>
      <c r="C43" s="20"/>
      <c r="D43" s="20"/>
      <c r="E43" s="20" t="s">
        <v>38</v>
      </c>
      <c r="F43" s="20" t="s">
        <v>47</v>
      </c>
      <c r="G43" s="20">
        <v>1</v>
      </c>
      <c r="H43" s="20">
        <v>1</v>
      </c>
      <c r="I43" s="20">
        <v>1</v>
      </c>
      <c r="J43" s="71">
        <v>3.64</v>
      </c>
      <c r="K43" s="71">
        <v>3.64</v>
      </c>
      <c r="L43" s="20"/>
      <c r="M43" s="20"/>
      <c r="N43" s="20" t="s">
        <v>48</v>
      </c>
    </row>
    <row r="44" spans="1:14" x14ac:dyDescent="0.25">
      <c r="A44" s="20"/>
      <c r="B44" s="20" t="s">
        <v>46</v>
      </c>
      <c r="C44" s="20"/>
      <c r="D44" s="20"/>
      <c r="E44" s="20" t="s">
        <v>50</v>
      </c>
      <c r="F44" s="20" t="s">
        <v>44</v>
      </c>
      <c r="G44" s="20">
        <v>1</v>
      </c>
      <c r="H44" s="20">
        <v>8</v>
      </c>
      <c r="I44" s="20">
        <v>1</v>
      </c>
      <c r="J44" s="71">
        <v>14.93</v>
      </c>
      <c r="K44" s="71">
        <v>14.93</v>
      </c>
      <c r="L44" s="20"/>
      <c r="M44" s="20"/>
      <c r="N44" s="20" t="s">
        <v>51</v>
      </c>
    </row>
    <row r="45" spans="1:14" x14ac:dyDescent="0.25">
      <c r="A45" s="20"/>
      <c r="B45" s="20" t="s">
        <v>52</v>
      </c>
      <c r="C45" s="20"/>
      <c r="D45" s="20"/>
      <c r="E45" s="20" t="s">
        <v>54</v>
      </c>
      <c r="F45" s="20" t="s">
        <v>44</v>
      </c>
      <c r="G45" s="20">
        <v>3</v>
      </c>
      <c r="H45" s="20">
        <v>10</v>
      </c>
      <c r="I45" s="20">
        <v>1</v>
      </c>
      <c r="J45" s="71">
        <v>20.22</v>
      </c>
      <c r="K45" s="71">
        <v>20.22</v>
      </c>
      <c r="L45" s="20"/>
      <c r="M45" s="20"/>
      <c r="N45" s="20" t="s">
        <v>55</v>
      </c>
    </row>
    <row r="46" spans="1:14" x14ac:dyDescent="0.25">
      <c r="A46" s="20"/>
      <c r="B46" s="20" t="s">
        <v>52</v>
      </c>
      <c r="C46" s="20"/>
      <c r="D46" s="20"/>
      <c r="E46" s="20" t="s">
        <v>38</v>
      </c>
      <c r="F46" s="20" t="s">
        <v>47</v>
      </c>
      <c r="G46" s="20">
        <v>3</v>
      </c>
      <c r="H46" s="20">
        <v>1</v>
      </c>
      <c r="I46" s="20">
        <v>3</v>
      </c>
      <c r="J46" s="71">
        <v>2.84</v>
      </c>
      <c r="K46" s="71">
        <f>J46*I46</f>
        <v>8.52</v>
      </c>
      <c r="L46" s="20"/>
      <c r="M46" s="20"/>
      <c r="N46" s="20" t="s">
        <v>56</v>
      </c>
    </row>
    <row r="47" spans="1:14" x14ac:dyDescent="0.25">
      <c r="A47" s="20"/>
      <c r="B47" s="20"/>
      <c r="C47" s="20"/>
      <c r="D47" s="20"/>
      <c r="E47" s="20"/>
      <c r="F47" s="20"/>
      <c r="G47" s="20"/>
      <c r="H47" s="20"/>
      <c r="I47" s="20"/>
      <c r="J47" s="71"/>
      <c r="K47" s="71"/>
      <c r="L47" s="20"/>
      <c r="M47" s="20"/>
      <c r="N47" s="20"/>
    </row>
    <row r="48" spans="1:14" x14ac:dyDescent="0.25">
      <c r="A48" s="20"/>
      <c r="B48" s="20"/>
      <c r="C48" s="20"/>
      <c r="D48" s="20"/>
      <c r="E48" s="20"/>
      <c r="F48" s="20"/>
      <c r="G48" s="20"/>
      <c r="H48" s="20"/>
      <c r="I48" s="20"/>
      <c r="J48" s="71"/>
      <c r="K48" s="71"/>
      <c r="L48" s="20"/>
      <c r="M48" s="20"/>
      <c r="N48" s="20"/>
    </row>
    <row r="49" spans="1:14" x14ac:dyDescent="0.25">
      <c r="A49" s="20"/>
      <c r="B49" s="20"/>
      <c r="C49" s="20"/>
      <c r="D49" s="20"/>
      <c r="E49" s="20"/>
      <c r="F49" s="20"/>
      <c r="G49" s="20"/>
      <c r="H49" s="20"/>
      <c r="I49" s="20"/>
      <c r="J49" s="71"/>
      <c r="K49" s="71"/>
      <c r="L49" s="20"/>
      <c r="M49" s="20"/>
      <c r="N49" s="74"/>
    </row>
    <row r="50" spans="1:14" x14ac:dyDescent="0.2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</row>
    <row r="51" spans="1:14" x14ac:dyDescent="0.2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</row>
  </sheetData>
  <mergeCells count="1">
    <mergeCell ref="B1:J1"/>
  </mergeCells>
  <phoneticPr fontId="8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c39c84-b0a3-45a2-a38c-ff46bb47f11f" xsi:nil="true"/>
    <lcf76f155ced4ddcb4097134ff3c332f xmlns="cf9f6c1f-8ad0-4eb8-bb2b-fb0b622a341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EC7ECFAC78D4E8EF6CBAFFF0B3505" ma:contentTypeVersion="19" ma:contentTypeDescription="Create a new document." ma:contentTypeScope="" ma:versionID="1619f065ca3ee2b2a551d697af78a52c">
  <xsd:schema xmlns:xsd="http://www.w3.org/2001/XMLSchema" xmlns:xs="http://www.w3.org/2001/XMLSchema" xmlns:p="http://schemas.microsoft.com/office/2006/metadata/properties" xmlns:ns2="cf9f6c1f-8ad0-4eb8-bb2b-fb0b622a341e" xmlns:ns3="72c39c84-b0a3-45a2-a38c-ff46bb47f11f" targetNamespace="http://schemas.microsoft.com/office/2006/metadata/properties" ma:root="true" ma:fieldsID="f162289ff582f7dcdaca5148f0118a53" ns2:_="" ns3:_="">
    <xsd:import namespace="cf9f6c1f-8ad0-4eb8-bb2b-fb0b622a341e"/>
    <xsd:import namespace="72c39c84-b0a3-45a2-a38c-ff46bb47f1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f6c1f-8ad0-4eb8-bb2b-fb0b622a34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6ec1fed-e6ae-4c84-a4ac-123136fd93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c39c84-b0a3-45a2-a38c-ff46bb47f11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0263d0-9f1a-4e63-a49c-f06b563fb00a}" ma:internalName="TaxCatchAll" ma:showField="CatchAllData" ma:web="72c39c84-b0a3-45a2-a38c-ff46bb47f1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958292-C6C4-482B-887A-6CF9FB19AB74}">
  <ds:schemaRefs>
    <ds:schemaRef ds:uri="http://schemas.microsoft.com/office/2006/metadata/properties"/>
    <ds:schemaRef ds:uri="http://schemas.microsoft.com/office/infopath/2007/PartnerControls"/>
    <ds:schemaRef ds:uri="72c39c84-b0a3-45a2-a38c-ff46bb47f11f"/>
    <ds:schemaRef ds:uri="cf9f6c1f-8ad0-4eb8-bb2b-fb0b622a341e"/>
  </ds:schemaRefs>
</ds:datastoreItem>
</file>

<file path=customXml/itemProps2.xml><?xml version="1.0" encoding="utf-8"?>
<ds:datastoreItem xmlns:ds="http://schemas.openxmlformats.org/officeDocument/2006/customXml" ds:itemID="{4740145F-09D2-466B-B9A2-2798696B0A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561612-DDD2-40DA-BAC0-A3FAA1B267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9f6c1f-8ad0-4eb8-bb2b-fb0b622a341e"/>
    <ds:schemaRef ds:uri="72c39c84-b0a3-45a2-a38c-ff46bb47f1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MMC Co-op</dc:creator>
  <cp:keywords/>
  <dc:description/>
  <cp:lastModifiedBy>Brad Wellington</cp:lastModifiedBy>
  <cp:revision/>
  <dcterms:created xsi:type="dcterms:W3CDTF">2021-04-20T01:54:08Z</dcterms:created>
  <dcterms:modified xsi:type="dcterms:W3CDTF">2025-07-25T20:50:07Z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0x010100B51EC7ECFAC78D4E8EF6CBAFFF0B3505</vt:lpwstr>
  </property>
  <property fmtid="{D5CDD505-2E9C-101B-9397-08002B2CF9AE}" pid="3" name="MediaServiceImageTags">
    <vt:lpwstr/>
  </property>
</Properties>
</file>